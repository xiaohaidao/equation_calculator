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G9" i="2" l="1"/>
  <c r="G10" i="2" s="1"/>
  <c r="H1" i="2"/>
  <c r="B5" i="2"/>
  <c r="B4" i="2"/>
  <c r="B3" i="2"/>
  <c r="B2" i="2"/>
  <c r="B1" i="2"/>
  <c r="F7" i="2" l="1"/>
  <c r="B9" i="2"/>
  <c r="B7" i="2"/>
  <c r="B8" i="2"/>
  <c r="I2" i="1"/>
  <c r="H2" i="1"/>
  <c r="G2" i="1"/>
  <c r="B10" i="2" l="1"/>
  <c r="B11" i="2"/>
  <c r="K2" i="1"/>
  <c r="J2" i="1"/>
  <c r="B13" i="2"/>
  <c r="B12" i="2"/>
  <c r="B14" i="2"/>
  <c r="B18" i="2" s="1"/>
  <c r="B23" i="2"/>
  <c r="B16" i="2"/>
  <c r="B15" i="2"/>
  <c r="B22" i="2"/>
  <c r="B19" i="2"/>
  <c r="B21" i="2"/>
  <c r="B20" i="2"/>
  <c r="B17" i="2"/>
  <c r="L2" i="1"/>
  <c r="M2" i="1"/>
  <c r="N2" i="1"/>
  <c r="V2" i="1"/>
  <c r="R2" i="1"/>
  <c r="W2" i="1"/>
  <c r="S2" i="1"/>
  <c r="AA2" i="1"/>
  <c r="U2" i="1"/>
  <c r="AD2" i="1"/>
  <c r="O2" i="1"/>
  <c r="AE2" i="1"/>
  <c r="P2" i="1"/>
  <c r="Z2" i="1"/>
  <c r="T2" i="1"/>
  <c r="Q2" i="1"/>
  <c r="Y2" i="1"/>
  <c r="X2" i="1"/>
  <c r="AC2" i="1"/>
  <c r="AB2" i="1"/>
  <c r="B25" i="2"/>
  <c r="B29" i="2"/>
  <c r="B28" i="2"/>
  <c r="B26" i="2"/>
  <c r="B27" i="2"/>
  <c r="B30" i="2"/>
  <c r="B31" i="2"/>
  <c r="B24" i="2"/>
  <c r="D24" i="2" l="1"/>
  <c r="D17" i="2"/>
  <c r="D20" i="2"/>
  <c r="D21" i="2"/>
  <c r="D19" i="2"/>
  <c r="D22" i="2"/>
  <c r="D16" i="2"/>
  <c r="D23" i="2"/>
  <c r="D18" i="2"/>
</calcChain>
</file>

<file path=xl/sharedStrings.xml><?xml version="1.0" encoding="utf-8"?>
<sst xmlns="http://schemas.openxmlformats.org/spreadsheetml/2006/main" count="65" uniqueCount="35">
  <si>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</si>
  <si>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</si>
  <si>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</si>
  <si>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</si>
  <si>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</si>
  <si>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</si>
  <si>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</si>
  <si>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</si>
  <si>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2p³+27q²-72pr</t>
  </si>
  <si>
    <t>p²+12r</t>
  </si>
  <si>
    <t>L</t>
    <phoneticPr fontId="1" type="noConversion"/>
  </si>
  <si>
    <t>M</t>
    <phoneticPr fontId="1" type="noConversion"/>
  </si>
  <si>
    <t>N</t>
    <phoneticPr fontId="1" type="noConversion"/>
  </si>
  <si>
    <t>q√L√M√N</t>
  </si>
  <si>
    <t>A类方程第一个根</t>
  </si>
  <si>
    <t>A类方程第二个根</t>
  </si>
  <si>
    <t>A类方程第三个根</t>
  </si>
  <si>
    <t>A类方程第四个根</t>
  </si>
  <si>
    <t>B类方程第一个根</t>
  </si>
  <si>
    <t>B类方程第二个根</t>
  </si>
  <si>
    <t>B类方程第三个根</t>
  </si>
  <si>
    <t>B类方程第四个根</t>
  </si>
  <si>
    <t>A类方程第一个根的误差</t>
  </si>
  <si>
    <t>A类方程第二个根的误差</t>
  </si>
  <si>
    <t>A类方程第三个根的误差</t>
  </si>
  <si>
    <t>A类方程第四个根的误差</t>
  </si>
  <si>
    <t>B类方程第一个根的误差</t>
  </si>
  <si>
    <t>B类方程第二个根的误差</t>
  </si>
  <si>
    <t>B类方程第三个根的误差</t>
  </si>
  <si>
    <t>B类方程第四个根的误差</t>
  </si>
  <si>
    <t>h</t>
    <phoneticPr fontId="1" type="noConversion"/>
  </si>
  <si>
    <t>R</t>
    <phoneticPr fontId="1" type="noConversion"/>
  </si>
  <si>
    <t>\theta</t>
    <phoneticPr fontId="1" type="noConversion"/>
  </si>
  <si>
    <t>tanO</t>
    <phoneticPr fontId="1" type="noConversion"/>
  </si>
  <si>
    <t>formula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</si>
</sst>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"/>
  <sheetViews>
    <sheetView workbookViewId="0">
      <selection sqref="A1:XFD2"/>
    </sheetView>
  </sheetViews>
  <sheetFormatPr defaultRowHeight="13.5" x14ac:dyDescent="0.15"/>
  <sheetData>
    <row r="1" spans="1:31" ht="14.2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G1" t="s">
        <v>5</v>
      </c>
      <c r="H1" t="s">
        <v>6</v>
      </c>
      <c r="I1" t="s">
        <v>7</v>
      </c>
      <c r="J1" s="1" t="s">
        <v>8</v>
      </c>
      <c r="K1" s="1" t="s">
        <v>9</v>
      </c>
      <c r="L1" t="s">
        <v>10</v>
      </c>
      <c r="M1" t="s">
        <v>11</v>
      </c>
      <c r="N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</row>
    <row r="2" spans="1:31" ht="14.25" x14ac:dyDescent="0.2">
      <c r="A2">
        <v>1</v>
      </c>
      <c r="B2">
        <v>2</v>
      </c>
      <c r="C2">
        <v>3</v>
      </c>
      <c r="D2">
        <v>4</v>
      </c>
      <c r="E2">
        <v>0</v>
      </c>
      <c r="G2">
        <f>(8*A2*C2-3*B2*B2)/(8*A2*A2)</f>
        <v>1.5</v>
      </c>
      <c r="H2">
        <f>(8*A2*A2*D2-4*A2*B2*C2+B2*B2*B2)/(8*A2*A2*A2)</f>
        <v>2</v>
      </c>
      <c r="I2" s="1">
        <f>(256*A2*A2*A2*E2-64*A2*A2*B2*D2+16*A2*B2*B2*C2-3*B2*B2*B2*B2)/(256*A2*A2*A2*A2)</f>
        <v>-1.4375</v>
      </c>
      <c r="J2" s="1">
        <f>2*G2*G2*G2+27*H2*H2-72*G2*I2</f>
        <v>270</v>
      </c>
      <c r="K2" s="1">
        <f>G2*G2+12*I2</f>
        <v>-15</v>
      </c>
      <c r="L2" s="1" t="str">
        <f>IMDIV(IMSUM(-2*G2,IMCBRT(IMDIV(IMSUM(J2,IMSQRT(J2*J2-4*K2*K2*K2)),2)),IMCBRT(IMDIV(IMSUB(J2,IMSQRT(J2*J2-4*K2*K2*K2)),2))),12)</f>
        <v>0.105829586188269</v>
      </c>
      <c r="M2" s="1" t="str">
        <f>IMDIV(IMSUM(-2*G2,IMCBRT(IMDIV(IMSUM(J2,IMSQRT(J2*J2-4*K2*K2*K2)),2),1),IMCBRT(IMDIV(IMSUB(J2,IMSQRT(J2*J2-4*K2*K2*K2)),2),2)),12)</f>
        <v>-0.427914793094135+0.638326735148376i</v>
      </c>
      <c r="N2" s="1" t="str">
        <f>IMDIV(IMSUM(-2*G2,IMCBRT(IMDIV(IMSUM(J2,IMSQRT(J2*J2-4*K2*K2*K2)),2),2),IMCBRT(IMDIV(IMSUB(J2,IMSQRT(J2*J2-4*K2*K2*K2)),2),1)),12)</f>
        <v>-0.427914793094135-0.638326735148376i</v>
      </c>
      <c r="O2" s="1" t="str">
        <f>IMROUND(IMPRODUCT(H2,IMSQRT(L2),IMSQRT(M2),IMSQRT(N2)),6)</f>
        <v>0.5</v>
      </c>
      <c r="P2" s="1" t="str">
        <f>IMROUND(IMSUM(-B2/(4*A2),IMSQRT(L2),IMSQRT(M2),IMSQRT(N2)),6)</f>
        <v>0.650629</v>
      </c>
      <c r="Q2" s="1" t="str">
        <f>IMROUND(IMSUM(-B2/(4*A2),IMSQRT(L2),IMOPPSITE(IMSQRT(M2)),IMOPPSITE(IMSQRT(N2))),6)</f>
        <v>-1</v>
      </c>
      <c r="R2" s="1" t="str">
        <f>IMROUND(IMSUM(-B2/(4*A2),IMOPPSITE(IMSQRT(L2)),IMSQRT(M2),IMOPPSITE(IMSQRT(N2))),6)</f>
        <v>-0.825315+1.546869i</v>
      </c>
      <c r="S2" s="1" t="str">
        <f>IMROUND(IMSUM(-B2/(4*A2),IMOPPSITE(IMSQRT(L2)),IMOPPSITE(IMSQRT(M2)),IMSQRT(N2)),6)</f>
        <v>-0.825315-1.546869i</v>
      </c>
      <c r="T2" s="1" t="str">
        <f>IMROUND(IMSUM(-B2/(4*A2),IMSQRT(L2),IMSQRT(M2),IMOPPSITE(IMSQRT(N2))),6)</f>
        <v>-0.174685+1.546869i</v>
      </c>
      <c r="U2" s="1" t="str">
        <f>IMROUND(IMSUM(-B2/(4*A2),IMSQRT(L2),IMOPPSITE(IMSQRT(M2)),IMSQRT(N2)),6)</f>
        <v>-0.174685-1.546869i</v>
      </c>
      <c r="V2" s="1" t="str">
        <f>IMROUND(IMSUM(-B2/(4*A2),IMOPPSITE(IMSQRT(L2)),IMSQRT(M2),IMSQRT(N2)),6)</f>
        <v>0</v>
      </c>
      <c r="W2" s="1" t="str">
        <f>IMROUND(IMSUM(-B2/(4*A2),IMOPPSITE(IMSQRT(L2)),IMOPPSITE(IMSQRT(M2)),IMOPPSITE(IMSQRT(N2))),6)</f>
        <v>-1.650629</v>
      </c>
      <c r="X2" s="1" t="str">
        <f>IMROUND(IMSUM(IMPRODUCT(A2,P2,P2,P2,P2),IMPRODUCT(B2,P2,P2,P2),IMPRODUCT(C2,P2,P2),IMPRODUCT(D2,P2),E2),6)</f>
        <v>4.602515</v>
      </c>
      <c r="Y2" s="1" t="str">
        <f>IMROUND(IMSUM(IMPRODUCT(A2,Q2,Q2,Q2,Q2),IMPRODUCT(B2,Q2,Q2,Q2),IMPRODUCT(C2,Q2,Q2),IMPRODUCT(D2,Q2),E2),6)</f>
        <v>-2</v>
      </c>
      <c r="Z2" s="1" t="str">
        <f>IMROUND(IMSUM(IMPRODUCT(A2,R2,R2,R2,R2),IMPRODUCT(B2,R2,R2,R2),IMPRODUCT(C2,R2,R2),IMPRODUCT(D2,R2),E2),6)</f>
        <v>-1.301262+6.18748i</v>
      </c>
      <c r="AA2" s="1" t="str">
        <f>IMROUND(IMSUM(IMPRODUCT(A2,S2,S2,S2,S2),IMPRODUCT(B2,S2,S2,S2),IMPRODUCT(C2,S2,S2),IMPRODUCT(D2,S2),E2),6)</f>
        <v>-1.301262-6.18748i</v>
      </c>
      <c r="AB2" s="1" t="str">
        <f>IMROUND(IMSUM(IMPRODUCT(A2,T2,T2,T2,T2),IMPRODUCT(B2,T2,T2,T2),IMPRODUCT(C2,T2,T2),IMPRODUCT(D2,T2),E2),6)</f>
        <v>-0.000002-0.000004i</v>
      </c>
      <c r="AC2" s="1" t="str">
        <f>IMROUND(IMSUM(IMPRODUCT(A2,U2,U2,U2,U2),IMPRODUCT(B2,U2,U2,U2),IMPRODUCT(C2,U2,U2),IMPRODUCT(D2,U2),E2),6)</f>
        <v>-0.000002+0.000004i</v>
      </c>
      <c r="AD2" s="1" t="str">
        <f>IMROUND(IMSUM(IMPRODUCT(A2,V2,V2,V2,V2),IMPRODUCT(B2,V2,V2,V2),IMPRODUCT(C2,V2,V2),IMPRODUCT(D2,V2),E2),6)</f>
        <v>0</v>
      </c>
      <c r="AE2" s="1" t="str">
        <f>IMROUND(IMSUM(IMPRODUCT(A2,W2,W2,W2,W2),IMPRODUCT(B2,W2,W2,W2),IMPRODUCT(C2,W2,W2),IMPRODUCT(D2,W2),E2),6)</f>
        <v>-0.000001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1"/>
  <sheetViews>
    <sheetView tabSelected="1" workbookViewId="0">
      <selection activeCell="F7" sqref="F7"/>
    </sheetView>
  </sheetViews>
  <sheetFormatPr defaultRowHeight="13.5" x14ac:dyDescent="0.15"/>
  <cols>
    <col min="1" max="1" width="22.75" bestFit="1" customWidth="1"/>
    <col min="2" max="2" width="39.5" bestFit="1" customWidth="1"/>
    <col min="6" max="6" width="13.875" bestFit="1" customWidth="1"/>
    <col min="8" max="8" width="10.5" bestFit="1" customWidth="1"/>
  </cols>
  <sheetData>
    <row r="1" spans="1:8" x14ac:dyDescent="0.15">
      <c r="A1" t="s">
        <v>0</v>
      </c>
      <c r="B1">
        <f>F1*SIN(RADIANS(F2))</f>
        <v>8.6602540378443855</v>
      </c>
      <c r="C1" t="s">
        <v>33</v>
      </c>
      <c r="D1">
        <v>1.4200131650299342E-2</v>
      </c>
      <c r="E1" t="s">
        <v>30</v>
      </c>
      <c r="F1">
        <v>10</v>
      </c>
      <c r="H1">
        <f>DEGREES(ATAN(D1))*2</f>
        <v>1.6271058648279997</v>
      </c>
    </row>
    <row r="2" spans="1:8" x14ac:dyDescent="0.15">
      <c r="A2" t="s">
        <v>1</v>
      </c>
      <c r="B2">
        <f>2*F1*COS(RADIANS(F2))-2*F3</f>
        <v>-590</v>
      </c>
      <c r="E2" t="s">
        <v>32</v>
      </c>
      <c r="F2">
        <v>60</v>
      </c>
    </row>
    <row r="3" spans="1:8" x14ac:dyDescent="0.15">
      <c r="A3" t="s">
        <v>2</v>
      </c>
      <c r="B3">
        <f>-2*F1*SIN(RADIANS(F2))</f>
        <v>-17.320508075688771</v>
      </c>
      <c r="E3" t="s">
        <v>31</v>
      </c>
      <c r="F3">
        <v>300</v>
      </c>
    </row>
    <row r="4" spans="1:8" x14ac:dyDescent="0.15">
      <c r="A4" t="s">
        <v>3</v>
      </c>
      <c r="B4">
        <f>-(2*F1*COS(RADIANS(F2))+2*F3)</f>
        <v>-610</v>
      </c>
    </row>
    <row r="5" spans="1:8" x14ac:dyDescent="0.15">
      <c r="A5" t="s">
        <v>4</v>
      </c>
      <c r="B5">
        <f>F1*SIN(RADIANS(F2))</f>
        <v>8.6602540378443855</v>
      </c>
    </row>
    <row r="7" spans="1:8" x14ac:dyDescent="0.15">
      <c r="A7" t="s">
        <v>5</v>
      </c>
      <c r="B7">
        <f>(8*B1*B3-3*B2*B2)/(8*B1*B1)</f>
        <v>-1742.5000000000002</v>
      </c>
      <c r="E7" t="s">
        <v>34</v>
      </c>
      <c r="F7">
        <f>B1*D1^4-B2*D1^3+B3*D1^2-B4*D1-B5</f>
        <v>2.3435864864751466E-5</v>
      </c>
    </row>
    <row r="8" spans="1:8" x14ac:dyDescent="0.15">
      <c r="A8" t="s">
        <v>6</v>
      </c>
      <c r="B8">
        <f>(8*B1*B1*B4-4*B1*B2*B3+B2*B2*B2)/(8*B1*B1*B1)</f>
        <v>-39663.771043237575</v>
      </c>
    </row>
    <row r="9" spans="1:8" ht="14.25" x14ac:dyDescent="0.2">
      <c r="A9" t="s">
        <v>7</v>
      </c>
      <c r="B9" s="1">
        <f>(256*B1*B1*B1*B5-64*B1*B1*B2*B4+16*B1*B2*B2*B3-3*B2*B2*B2*B2)/(256*B1*B1*B1*B1)</f>
        <v>-254223.8541666668</v>
      </c>
      <c r="G9">
        <f>TAN(RADIANS(F2))*F1</f>
        <v>17.320508075688767</v>
      </c>
    </row>
    <row r="10" spans="1:8" ht="14.25" x14ac:dyDescent="0.2">
      <c r="A10" s="1" t="s">
        <v>8</v>
      </c>
      <c r="B10" s="1">
        <f>2*B7*B7*B7+27*B8*B8-72*B7*B9</f>
        <v>345776.00000762939</v>
      </c>
      <c r="G10">
        <f>DEGREES(ATAN(G9/F3))</f>
        <v>3.3043051801559606</v>
      </c>
    </row>
    <row r="11" spans="1:8" ht="14.25" x14ac:dyDescent="0.2">
      <c r="A11" s="1" t="s">
        <v>9</v>
      </c>
      <c r="B11" s="1">
        <f>B7*B7+12*B9</f>
        <v>-14380.000000000931</v>
      </c>
    </row>
    <row r="12" spans="1:8" ht="14.25" x14ac:dyDescent="0.2">
      <c r="A12" t="s">
        <v>10</v>
      </c>
      <c r="B12" s="1" t="str">
        <f>IMDIV(IMSUM(-2*B7,IMCBRT(IMDIV(IMSUM(B10,IMSQRT(B10*B10-4*B11*B11*B11)),2)),IMCBRT(IMDIV(IMSUB(B10,IMSQRT(B10*B10-4*B11*B11*B11)),2))),12)</f>
        <v>291.083610264436</v>
      </c>
    </row>
    <row r="13" spans="1:8" ht="14.25" x14ac:dyDescent="0.2">
      <c r="A13" t="s">
        <v>11</v>
      </c>
      <c r="B13" s="1" t="str">
        <f>IMDIV(IMSUM(-2*B7,IMCBRT(IMDIV(IMSUM(B10,IMSQRT(B10*B10-4*B11*B11*B11)),2),1),IMCBRT(IMDIV(IMSUB(B10,IMSQRT(B10*B10-4*B11*B11*B11)),2),2)),12)</f>
        <v>290.083194867782+17.3181102795688i</v>
      </c>
    </row>
    <row r="14" spans="1:8" ht="14.25" x14ac:dyDescent="0.2">
      <c r="A14" t="s">
        <v>12</v>
      </c>
      <c r="B14" s="1" t="str">
        <f>IMDIV(IMSUM(-2*B7,IMCBRT(IMDIV(IMSUM(B10,IMSQRT(B10*B10-4*B11*B11*B11)),2),2),IMCBRT(IMDIV(IMSUB(B10,IMSQRT(B10*B10-4*B11*B11*B11)),2),1)),12)</f>
        <v>290.083194867782-17.3181102795688i</v>
      </c>
    </row>
    <row r="15" spans="1:8" ht="14.25" x14ac:dyDescent="0.2">
      <c r="A15" s="1" t="s">
        <v>13</v>
      </c>
      <c r="B15" s="1" t="str">
        <f>IMROUND(IMPRODUCT(B8,IMSQRT(B12),IMSQRT(B13),IMSQRT(B14)),6)</f>
        <v>-196651841.671295</v>
      </c>
    </row>
    <row r="16" spans="1:8" ht="14.25" x14ac:dyDescent="0.2">
      <c r="A16" s="1" t="s">
        <v>14</v>
      </c>
      <c r="B16" s="1" t="str">
        <f>IMROUND(IMSUM(-B2/(4*B1),IMSQRT(B12),IMSQRT(B13),IMSQRT(B14)),6)</f>
        <v>68.171822</v>
      </c>
      <c r="D16">
        <f>DEGREES(ATAN(B16))*2</f>
        <v>178.31919790792597</v>
      </c>
    </row>
    <row r="17" spans="1:4" ht="14.25" x14ac:dyDescent="0.2">
      <c r="A17" s="1" t="s">
        <v>15</v>
      </c>
      <c r="B17" s="1" t="str">
        <f>IMROUND(IMSUM(-B2/(4*B1),IMSQRT(B12),IMOPPSITE(IMSQRT(B13)),IMOPPSITE(IMSQRT(B14))),6)</f>
        <v>0.014189</v>
      </c>
      <c r="D17">
        <f t="shared" ref="D17:D24" si="0">DEGREES(ATAN(B17))*2</f>
        <v>1.6258305286276831</v>
      </c>
    </row>
    <row r="18" spans="1:4" ht="14.25" x14ac:dyDescent="0.2">
      <c r="A18" s="1" t="s">
        <v>16</v>
      </c>
      <c r="B18" s="1" t="str">
        <f>IMROUND(IMSUM(-B2/(4*B1),IMOPPSITE(IMSQRT(B12)),IMSQRT(B13),IMOPPSITE(IMSQRT(B14))),6)</f>
        <v>-0.02934+1.016356i</v>
      </c>
      <c r="D18" t="e">
        <f t="shared" si="0"/>
        <v>#VALUE!</v>
      </c>
    </row>
    <row r="19" spans="1:4" ht="14.25" x14ac:dyDescent="0.2">
      <c r="A19" s="1" t="s">
        <v>17</v>
      </c>
      <c r="B19" s="1" t="str">
        <f>IMROUND(IMSUM(-B2/(4*B1),IMOPPSITE(IMSQRT(B12)),IMOPPSITE(IMSQRT(B13)),IMSQRT(B14)),6)</f>
        <v>-0.02934-1.016356i</v>
      </c>
      <c r="D19" t="e">
        <f t="shared" si="0"/>
        <v>#VALUE!</v>
      </c>
    </row>
    <row r="20" spans="1:4" ht="14.25" x14ac:dyDescent="0.2">
      <c r="A20" s="1" t="s">
        <v>18</v>
      </c>
      <c r="B20" s="1" t="str">
        <f>IMROUND(IMSUM(-B2/(4*B1),IMSQRT(B12),IMSQRT(B13),IMOPPSITE(IMSQRT(B14))),6)</f>
        <v>34.093006+1.016356i</v>
      </c>
      <c r="D20" t="e">
        <f t="shared" si="0"/>
        <v>#VALUE!</v>
      </c>
    </row>
    <row r="21" spans="1:4" ht="14.25" x14ac:dyDescent="0.2">
      <c r="A21" s="1" t="s">
        <v>19</v>
      </c>
      <c r="B21" s="1" t="str">
        <f>IMROUND(IMSUM(-B2/(4*B1),IMSQRT(B12),IMOPPSITE(IMSQRT(B13)),IMSQRT(B14)),6)</f>
        <v>34.093006-1.016356i</v>
      </c>
      <c r="D21" t="e">
        <f t="shared" si="0"/>
        <v>#VALUE!</v>
      </c>
    </row>
    <row r="22" spans="1:4" ht="14.25" x14ac:dyDescent="0.2">
      <c r="A22" s="1" t="s">
        <v>20</v>
      </c>
      <c r="B22" s="1" t="str">
        <f>IMROUND(IMSUM(-B2/(4*B1),IMOPPSITE(IMSQRT(B12)),IMSQRT(B13),IMSQRT(B14)),6)</f>
        <v>34.049477</v>
      </c>
      <c r="D22">
        <f t="shared" si="0"/>
        <v>176.63552454930547</v>
      </c>
    </row>
    <row r="23" spans="1:4" ht="14.25" x14ac:dyDescent="0.2">
      <c r="A23" s="1" t="s">
        <v>21</v>
      </c>
      <c r="B23" s="1" t="str">
        <f>IMROUND(IMSUM(-B2/(4*B1),IMOPPSITE(IMSQRT(B12)),IMOPPSITE(IMSQRT(B13)),IMOPPSITE(IMSQRT(B14))),6)</f>
        <v>-34.108157</v>
      </c>
      <c r="D23">
        <f t="shared" si="0"/>
        <v>-176.64130950774305</v>
      </c>
    </row>
    <row r="24" spans="1:4" ht="14.25" x14ac:dyDescent="0.2">
      <c r="A24" s="1" t="s">
        <v>22</v>
      </c>
      <c r="B24" s="1" t="str">
        <f>IMROUND(IMSUM(IMPRODUCT(B1,B16,B16,B16,B16),IMPRODUCT(B2,B16,B16,B16),IMPRODUCT(B3,B16,B16),IMPRODUCT(B4,B16),B5),6)</f>
        <v>-1.12554</v>
      </c>
      <c r="D24">
        <f t="shared" si="0"/>
        <v>-96.760226310219863</v>
      </c>
    </row>
    <row r="25" spans="1:4" ht="14.25" x14ac:dyDescent="0.2">
      <c r="A25" s="1" t="s">
        <v>23</v>
      </c>
      <c r="B25" s="1" t="str">
        <f>IMROUND(IMSUM(IMPRODUCT(B1,B17,B17,B17,B17),IMPRODUCT(B2,B17,B17,B17),IMPRODUCT(B3,B17,B17),IMPRODUCT(B4,B17),B5),6)</f>
        <v>-0.000208</v>
      </c>
    </row>
    <row r="26" spans="1:4" ht="14.25" x14ac:dyDescent="0.2">
      <c r="A26" s="1" t="s">
        <v>24</v>
      </c>
      <c r="B26" s="1" t="str">
        <f>IMROUND(IMSUM(IMPRODUCT(B1,B18,B18,B18,B18),IMPRODUCT(B2,B18,B18,B18),IMPRODUCT(B3,B18,B18),IMPRODUCT(B4,B18),B5),6)</f>
        <v>-0.000414-0.00039i</v>
      </c>
    </row>
    <row r="27" spans="1:4" ht="14.25" x14ac:dyDescent="0.2">
      <c r="A27" s="1" t="s">
        <v>25</v>
      </c>
      <c r="B27" s="1" t="str">
        <f>IMROUND(IMSUM(IMPRODUCT(B1,B19,B19,B19,B19),IMPRODUCT(B2,B19,B19,B19),IMPRODUCT(B3,B19,B19),IMPRODUCT(B4,B19),B5),6)</f>
        <v>-0.000414+0.00039i</v>
      </c>
    </row>
    <row r="28" spans="1:4" ht="14.25" x14ac:dyDescent="0.2">
      <c r="A28" s="1" t="s">
        <v>26</v>
      </c>
      <c r="B28" s="1" t="str">
        <f>IMROUND(IMSUM(IMPRODUCT(B1,B20,B20,B20,B20),IMPRODUCT(B2,B20,B20,B20),IMPRODUCT(B3,B20,B20),IMPRODUCT(B4,B20),B5),6)</f>
        <v>-11720969.021449-698233.183753i</v>
      </c>
    </row>
    <row r="29" spans="1:4" ht="14.25" x14ac:dyDescent="0.2">
      <c r="A29" s="1" t="s">
        <v>27</v>
      </c>
      <c r="B29" s="1" t="str">
        <f>IMROUND(IMSUM(IMPRODUCT(B1,B21,B21,B21,B21),IMPRODUCT(B2,B21,B21,B21),IMPRODUCT(B3,B21,B21),IMPRODUCT(B4,B21),B5),6)</f>
        <v>-11720969.021449+698233.183753i</v>
      </c>
    </row>
    <row r="30" spans="1:4" ht="14.25" x14ac:dyDescent="0.2">
      <c r="A30" s="1" t="s">
        <v>28</v>
      </c>
      <c r="B30" s="1" t="str">
        <f>IMROUND(IMSUM(IMPRODUCT(B1,B22,B22,B22,B22),IMPRODUCT(B2,B22,B22,B22),IMPRODUCT(B3,B22,B22),IMPRODUCT(B4,B22),B5),6)</f>
        <v>-11691064.743124</v>
      </c>
    </row>
    <row r="31" spans="1:4" ht="14.25" x14ac:dyDescent="0.2">
      <c r="A31" s="1" t="s">
        <v>29</v>
      </c>
      <c r="B31" s="1" t="str">
        <f>IMROUND(IMSUM(IMPRODUCT(B1,B23,B23,B23,B23),IMPRODUCT(B2,B23,B23,B23),IMPRODUCT(B3,B23,B23),IMPRODUCT(B4,B23),B5),6)</f>
        <v>35133003.919984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2021-08-05T11:22:56Z</dcterms:modified>
</cp:coreProperties>
</file>